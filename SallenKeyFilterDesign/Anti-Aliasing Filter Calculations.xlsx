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<sst xmlns="http://schemas.openxmlformats.org/spreadsheetml/2006/main" count="44" uniqueCount="39">
  <si>
    <t>Cut-off Frequency</t>
  </si>
  <si>
    <t>fc (Hz)</t>
  </si>
  <si>
    <t>*this is selected by us</t>
  </si>
  <si>
    <t>Quality Factor</t>
  </si>
  <si>
    <t>Q</t>
  </si>
  <si>
    <t>_minus scaling ratio</t>
  </si>
  <si>
    <t>m -</t>
  </si>
  <si>
    <t>*We should pick this since R1 should be smaller than R2 for impedance reasons</t>
  </si>
  <si>
    <t>m_plus scaling ratio</t>
  </si>
  <si>
    <t>m +</t>
  </si>
  <si>
    <t>n scaling ratio</t>
  </si>
  <si>
    <t>n</t>
  </si>
  <si>
    <t>Resistor 1</t>
  </si>
  <si>
    <t>R1 (Ω)</t>
  </si>
  <si>
    <t>*Closest standard value</t>
  </si>
  <si>
    <t>Resistor 2</t>
  </si>
  <si>
    <t>R2 (Ω)</t>
  </si>
  <si>
    <t>Capacitor 1</t>
  </si>
  <si>
    <t xml:space="preserve">C1 </t>
  </si>
  <si>
    <t>11pF</t>
  </si>
  <si>
    <t>Capacitor 2</t>
  </si>
  <si>
    <t>C2</t>
  </si>
  <si>
    <t>110pF</t>
  </si>
  <si>
    <t>Capacitance</t>
  </si>
  <si>
    <t>C</t>
  </si>
  <si>
    <t>Pi</t>
  </si>
  <si>
    <t>pi</t>
  </si>
  <si>
    <t>Selected Q</t>
  </si>
  <si>
    <t>Q Goal</t>
  </si>
  <si>
    <t>0.707</t>
  </si>
  <si>
    <t>*this is selected by us and 0.707 is common.</t>
  </si>
  <si>
    <t>A_value quadratic formula</t>
  </si>
  <si>
    <t>a</t>
  </si>
  <si>
    <t>B_quadratic formula</t>
  </si>
  <si>
    <t>b</t>
  </si>
  <si>
    <t>C_value quadratic formula</t>
  </si>
  <si>
    <t>c</t>
  </si>
  <si>
    <t>Delta</t>
  </si>
  <si>
    <t>Δ (b2-4ac)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</si>
</sst>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11" xfId="0" applyFont="1" applyNumberFormat="1"/>
    <xf borderId="0" fillId="0" fontId="3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8.63"/>
    <col customWidth="1" min="3" max="3" width="12.0"/>
    <col customWidth="1" min="4" max="27" width="8.63"/>
  </cols>
  <sheetData>
    <row r="1" ht="14.25" customHeight="1">
      <c r="A1" s="1" t="s">
        <v>0</v>
      </c>
      <c r="B1" s="1" t="s">
        <v>1</v>
      </c>
      <c r="C1" s="1">
        <v>19000.0</v>
      </c>
      <c r="D1" s="1"/>
      <c r="E1" s="1" t="s">
        <v>2</v>
      </c>
    </row>
    <row r="2" ht="14.25" customHeight="1">
      <c r="A2" s="1" t="s">
        <v>3</v>
      </c>
      <c r="B2" s="2" t="s">
        <v>4</v>
      </c>
      <c r="C2" s="2">
        <f>(SQRT(C3*C5))/(C3+1)</f>
        <v>0.707</v>
      </c>
    </row>
    <row r="3" ht="14.25" customHeight="1">
      <c r="A3" s="1" t="s">
        <v>5</v>
      </c>
      <c r="B3" s="1" t="s">
        <v>6</v>
      </c>
      <c r="C3" s="2">
        <f>(-(C15) - (SQRT(C17)))/(2*C14)</f>
        <v>0.05570927431</v>
      </c>
      <c r="D3" s="1"/>
      <c r="E3" s="1" t="s">
        <v>7</v>
      </c>
    </row>
    <row r="4" ht="14.25" customHeight="1">
      <c r="A4" s="1" t="s">
        <v>8</v>
      </c>
      <c r="B4" s="1" t="s">
        <v>9</v>
      </c>
      <c r="C4" s="3">
        <f>(-(C15) + (SQRT(C17)))/(2*C14)</f>
        <v>17.95033255</v>
      </c>
    </row>
    <row r="5" ht="14.25" customHeight="1">
      <c r="A5" s="1" t="s">
        <v>10</v>
      </c>
      <c r="B5" s="2" t="s">
        <v>11</v>
      </c>
      <c r="C5" s="2">
        <v>10.0</v>
      </c>
    </row>
    <row r="6" ht="14.25" customHeight="1">
      <c r="A6" s="1" t="s">
        <v>12</v>
      </c>
      <c r="B6" s="1" t="s">
        <v>13</v>
      </c>
      <c r="C6" s="1">
        <v>51000.0</v>
      </c>
      <c r="D6" s="1">
        <v>51000.0</v>
      </c>
      <c r="E6" s="1" t="s">
        <v>14</v>
      </c>
    </row>
    <row r="7" ht="14.25" customHeight="1">
      <c r="A7" s="1" t="s">
        <v>15</v>
      </c>
      <c r="B7" s="1" t="s">
        <v>16</v>
      </c>
      <c r="C7" s="2">
        <f>C6/C3</f>
        <v>915466.9601</v>
      </c>
      <c r="D7" s="1">
        <v>910000.0</v>
      </c>
      <c r="E7" s="1" t="s">
        <v>14</v>
      </c>
    </row>
    <row r="8" ht="14.25" customHeight="1">
      <c r="A8" s="1" t="s">
        <v>17</v>
      </c>
      <c r="B8" s="1" t="s">
        <v>18</v>
      </c>
      <c r="C8" s="4">
        <v>1.23E-11</v>
      </c>
      <c r="D8" s="1" t="s">
        <v>19</v>
      </c>
      <c r="E8" s="1" t="s">
        <v>14</v>
      </c>
    </row>
    <row r="9" ht="14.25" customHeight="1">
      <c r="A9" s="1" t="s">
        <v>20</v>
      </c>
      <c r="B9" s="2" t="s">
        <v>21</v>
      </c>
      <c r="C9" s="5">
        <f>C5*C8</f>
        <v>0.000000000123</v>
      </c>
      <c r="D9" s="1" t="s">
        <v>22</v>
      </c>
      <c r="E9" s="1" t="s">
        <v>14</v>
      </c>
    </row>
    <row r="10" ht="14.25" customHeight="1">
      <c r="A10" s="1" t="s">
        <v>23</v>
      </c>
      <c r="B10" s="1" t="s">
        <v>24</v>
      </c>
      <c r="C10" s="5">
        <f>(1)/(2*C11*C1*SQRT(C6*D7*C5))</f>
        <v>0</v>
      </c>
      <c r="D10" s="1" t="s">
        <v>19</v>
      </c>
      <c r="E10" s="1" t="s">
        <v>14</v>
      </c>
    </row>
    <row r="11" ht="14.25" customHeight="1">
      <c r="A11" s="1" t="s">
        <v>25</v>
      </c>
      <c r="B11" s="2" t="s">
        <v>26</v>
      </c>
      <c r="C11" s="2">
        <f>PI()</f>
        <v>3.141592654</v>
      </c>
    </row>
    <row r="12" ht="14.25" customHeight="1"/>
    <row r="13" ht="14.25" customHeight="1">
      <c r="A13" s="1" t="s">
        <v>27</v>
      </c>
      <c r="B13" s="2" t="s">
        <v>28</v>
      </c>
      <c r="C13" s="2" t="s">
        <v>29</v>
      </c>
      <c r="E13" s="1" t="s">
        <v>30</v>
      </c>
    </row>
    <row r="14" ht="14.25" customHeight="1">
      <c r="A14" s="1" t="s">
        <v>31</v>
      </c>
      <c r="B14" s="2" t="s">
        <v>32</v>
      </c>
      <c r="C14" s="6">
        <f> (C13)^2</f>
        <v>0.499849</v>
      </c>
    </row>
    <row r="15" ht="14.25" customHeight="1">
      <c r="A15" s="1" t="s">
        <v>33</v>
      </c>
      <c r="B15" s="2" t="s">
        <v>34</v>
      </c>
      <c r="C15" s="7">
        <f> 2*(C14) - C5</f>
        <v>-9.000302</v>
      </c>
    </row>
    <row r="16" ht="14.25" customHeight="1">
      <c r="A16" s="1" t="s">
        <v>35</v>
      </c>
      <c r="B16" s="2" t="s">
        <v>36</v>
      </c>
      <c r="C16" s="7">
        <f>(C13)^2</f>
        <v>0.499849</v>
      </c>
    </row>
    <row r="17" ht="14.25" customHeight="1">
      <c r="A17" s="1" t="s">
        <v>37</v>
      </c>
      <c r="B17" s="1" t="s">
        <v>38</v>
      </c>
      <c r="C17" s="2">
        <f>(C15^2) - 4*C14*C16</f>
        <v>80.00604</v>
      </c>
    </row>
    <row r="18" ht="14.25" customHeight="1">
      <c r="A18" s="1"/>
      <c r="B18" s="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landscape"/>
  <drawing r:id="rId1"/>
</worksheet>
</file>